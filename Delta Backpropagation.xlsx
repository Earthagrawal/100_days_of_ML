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arth_College\ssir\"/>
    </mc:Choice>
  </mc:AlternateContent>
  <xr:revisionPtr revIDLastSave="0" documentId="13_ncr:1_{0132556D-16A1-4A23-A54F-0D83C5655466}" xr6:coauthVersionLast="47" xr6:coauthVersionMax="47" xr10:uidLastSave="{00000000-0000-0000-0000-000000000000}"/>
  <bookViews>
    <workbookView xWindow="-108" yWindow="-108" windowWidth="23256" windowHeight="12456" xr2:uid="{6E819019-04FC-4EB1-BA5D-F4262DA302B4}"/>
  </bookViews>
  <sheets>
    <sheet name="Sheet1" sheetId="1" r:id="rId1"/>
  </sheets>
  <definedNames>
    <definedName name="_a1">Sheet1!$B$5:$D$8</definedName>
    <definedName name="_a2">Sheet1!$J$12:$M$15</definedName>
    <definedName name="_a3">Sheet1!$V$12:$Y$13</definedName>
    <definedName name="_a4">Sheet1!$AH$12:$AK$12</definedName>
    <definedName name="_b1">Sheet1!$F$12:$F$15</definedName>
    <definedName name="_b2">Sheet1!$Q$12:$Q$13</definedName>
    <definedName name="_b3">Sheet1!$AD$12</definedName>
    <definedName name="_delta2">Sheet1!$D$25:$G$28</definedName>
    <definedName name="_delta3">Sheet1!$R$25:$U$26</definedName>
    <definedName name="_delta4">Sheet1!$AD$25:$AG$25</definedName>
    <definedName name="_w1">Sheet1!$F$5:$H$8</definedName>
    <definedName name="_w2">Sheet1!$Q$5:$T$6</definedName>
    <definedName name="_w3">Sheet1!$AD$5:$AE$5</definedName>
    <definedName name="_Y">Sheet1!$B$12:$B$15</definedName>
    <definedName name="_z2">Sheet1!$J$5:$M$8</definedName>
    <definedName name="_z3">Sheet1!$V$5:$Y$6</definedName>
    <definedName name="_z4">Sheet1!$AH$5:$AK$5</definedName>
    <definedName name="d_b1">Sheet1!$D$39:$D$42</definedName>
    <definedName name="d_b2">Sheet1!$R$35:$R$36</definedName>
    <definedName name="d_b3">Sheet1!$AD$33</definedName>
    <definedName name="d_w1">Sheet1!$D$32:$F$35</definedName>
    <definedName name="d_w2">Sheet1!$R$30:$U$31</definedName>
    <definedName name="d_w3">Sheet1!$AD$29:$AE$29</definedName>
    <definedName name="loss1">Sheet1!$AN$9</definedName>
    <definedName name="loss2">Sheet1!$AM$54</definedName>
    <definedName name="lr">Sheet1!$B$1</definedName>
    <definedName name="new_a2">Sheet1!$J$56:$M$59</definedName>
    <definedName name="new_a3">Sheet1!$V$56:$Y$57</definedName>
    <definedName name="new_a4">Sheet1!$AF$56:$AI$56</definedName>
    <definedName name="new_b1">Sheet1!$F$56:$F$59</definedName>
    <definedName name="new_b2">Sheet1!$Q$56:$Q$57</definedName>
    <definedName name="new_b3">Sheet1!$AC$56</definedName>
    <definedName name="new_w1">Sheet1!$F$49:$H$52</definedName>
    <definedName name="new_w2">Sheet1!$Q$49:$T$50</definedName>
    <definedName name="new_w3">Sheet1!$AC$49:$AD$49</definedName>
    <definedName name="new_z2">Sheet1!$J$49:$M$52</definedName>
    <definedName name="new_z3">Sheet1!$V$49:$Y$50</definedName>
    <definedName name="new_z4">Sheet1!$AF$49:$AI$49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 a="1"/>
  <c r="J5" i="1" s="1"/>
  <c r="J12" i="1" s="1" a="1"/>
  <c r="J12" i="1" s="1"/>
  <c r="V5" i="1" s="1" a="1"/>
  <c r="V5" i="1" s="1"/>
  <c r="V12" i="1" l="1" a="1"/>
  <c r="V12" i="1" s="1"/>
  <c r="AH5" i="1" s="1" a="1"/>
  <c r="AH5" i="1" s="1"/>
  <c r="AH12" i="1" s="1" a="1"/>
  <c r="AH12" i="1" s="1"/>
  <c r="AH16" i="1" l="1" a="1"/>
  <c r="AH16" i="1" s="1"/>
  <c r="AN9" i="1" a="1"/>
  <c r="AN9" i="1" s="1"/>
  <c r="AD25" i="1" a="1"/>
  <c r="AD25" i="1" s="1"/>
  <c r="AD29" i="1" l="1" a="1"/>
  <c r="AD29" i="1" s="1"/>
  <c r="AC49" i="1" s="1" a="1"/>
  <c r="AC49" i="1" s="1"/>
  <c r="AD33" i="1"/>
  <c r="AC56" i="1" s="1"/>
  <c r="R25" i="1" a="1"/>
  <c r="R25" i="1" l="1"/>
  <c r="R36" i="1"/>
  <c r="R35" i="1" l="1"/>
  <c r="Q56" i="1" s="1" a="1"/>
  <c r="Q56" i="1" s="1"/>
  <c r="D25" i="1" a="1"/>
  <c r="R30" i="1" a="1"/>
  <c r="R30" i="1" s="1"/>
  <c r="Q49" i="1" s="1" a="1"/>
  <c r="Q49" i="1" s="1"/>
  <c r="D25" i="1" l="1"/>
  <c r="D40" i="1"/>
  <c r="D42" i="1"/>
  <c r="D41" i="1"/>
  <c r="D39" i="1" l="1"/>
  <c r="F56" i="1" s="1" a="1"/>
  <c r="F56" i="1" s="1"/>
  <c r="D32" i="1" a="1"/>
  <c r="D32" i="1" s="1"/>
  <c r="F49" i="1" s="1" a="1"/>
  <c r="F49" i="1" s="1"/>
  <c r="J49" i="1" l="1" a="1"/>
  <c r="J49" i="1" s="1"/>
  <c r="J56" i="1" s="1" a="1"/>
  <c r="J56" i="1" s="1"/>
  <c r="V49" i="1" l="1" a="1"/>
  <c r="V49" i="1" s="1"/>
  <c r="V56" i="1" s="1" a="1"/>
  <c r="V56" i="1" s="1"/>
  <c r="AF49" i="1" s="1" a="1"/>
  <c r="AF49" i="1" s="1"/>
  <c r="AF56" i="1" s="1" a="1"/>
  <c r="AF56" i="1" s="1"/>
  <c r="AF60" i="1" l="1" a="1"/>
  <c r="AF60" i="1" s="1"/>
  <c r="AM54" i="1" a="1"/>
  <c r="AM54" i="1" s="1"/>
  <c r="AO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<sst xmlns="http://schemas.openxmlformats.org/spreadsheetml/2006/main" count="45" uniqueCount="43">
  <si>
    <t xml:space="preserve">lr = </t>
  </si>
  <si>
    <t>_a1</t>
  </si>
  <si>
    <t>_w1</t>
  </si>
  <si>
    <t>_b1</t>
  </si>
  <si>
    <t>_Y</t>
  </si>
  <si>
    <t>_z2</t>
  </si>
  <si>
    <t>_a2</t>
  </si>
  <si>
    <t>_w2</t>
  </si>
  <si>
    <t>_b2</t>
  </si>
  <si>
    <t>_a3</t>
  </si>
  <si>
    <t>_z3</t>
  </si>
  <si>
    <t>_w3</t>
  </si>
  <si>
    <t>_b3</t>
  </si>
  <si>
    <t>_z4</t>
  </si>
  <si>
    <t>_a4</t>
  </si>
  <si>
    <t>LOSS</t>
  </si>
  <si>
    <t>predicted</t>
  </si>
  <si>
    <t>_delta4</t>
  </si>
  <si>
    <t>d_w3</t>
  </si>
  <si>
    <t>d_b3</t>
  </si>
  <si>
    <t>_delta3</t>
  </si>
  <si>
    <t>d_w2</t>
  </si>
  <si>
    <t>d_b2</t>
  </si>
  <si>
    <t>_delta2</t>
  </si>
  <si>
    <t>d_b1</t>
  </si>
  <si>
    <t>d_w1</t>
  </si>
  <si>
    <t>new_w1</t>
  </si>
  <si>
    <t>new_b1</t>
  </si>
  <si>
    <t>new_w2</t>
  </si>
  <si>
    <t>new_b2</t>
  </si>
  <si>
    <t>new_w3</t>
  </si>
  <si>
    <t>new_b3</t>
  </si>
  <si>
    <t>new_z2</t>
  </si>
  <si>
    <t>new_a2</t>
  </si>
  <si>
    <t>new_z3</t>
  </si>
  <si>
    <t>new_a3</t>
  </si>
  <si>
    <t>new_z4</t>
  </si>
  <si>
    <t>new_a4</t>
  </si>
  <si>
    <t>Reduction</t>
  </si>
  <si>
    <t xml:space="preserve"> in Loss :</t>
  </si>
  <si>
    <t xml:space="preserve">_X </t>
  </si>
  <si>
    <t>is also  called</t>
  </si>
  <si>
    <t>a1 in the Andrew Ng's notations.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</si>
</sst>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AA3B-6CAD-4B7F-B54B-A0FE7158C9A2}">
  <dimension ref="A1:AO60"/>
  <sheetViews>
    <sheetView tabSelected="1" workbookViewId="0">
      <selection activeCell="AH5" sqref="AH5"/>
    </sheetView>
  </sheetViews>
  <sheetFormatPr defaultRowHeight="14.4" x14ac:dyDescent="0.3"/>
  <cols>
    <col min="1" max="1" width="30.6640625" customWidth="1"/>
    <col min="4" max="4" width="12" bestFit="1" customWidth="1"/>
    <col min="15" max="15" width="3.5546875" style="1" customWidth="1"/>
    <col min="27" max="27" width="3.77734375" style="1" customWidth="1"/>
    <col min="42" max="42" width="8.88671875" customWidth="1"/>
  </cols>
  <sheetData>
    <row r="1" spans="1:40" x14ac:dyDescent="0.3">
      <c r="A1" t="s">
        <v>0</v>
      </c>
      <c r="B1">
        <v>0.5</v>
      </c>
    </row>
    <row r="4" spans="1:40" x14ac:dyDescent="0.3">
      <c r="A4" t="s">
        <v>40</v>
      </c>
      <c r="B4" t="s">
        <v>1</v>
      </c>
      <c r="F4" t="s">
        <v>2</v>
      </c>
      <c r="J4" t="s">
        <v>5</v>
      </c>
      <c r="Q4" t="s">
        <v>7</v>
      </c>
      <c r="V4" t="s">
        <v>10</v>
      </c>
      <c r="AD4" t="s">
        <v>11</v>
      </c>
      <c r="AH4" t="s">
        <v>13</v>
      </c>
    </row>
    <row r="5" spans="1:40" x14ac:dyDescent="0.3">
      <c r="A5" t="s">
        <v>41</v>
      </c>
      <c r="B5">
        <v>5.6</v>
      </c>
      <c r="C5">
        <v>2.8</v>
      </c>
      <c r="D5">
        <v>3.2</v>
      </c>
      <c r="F5">
        <v>0.2</v>
      </c>
      <c r="G5">
        <v>0.18</v>
      </c>
      <c r="H5">
        <v>0.15</v>
      </c>
      <c r="J5" cm="1">
        <f t="array" ref="J5:M8">MMULT(_w1,TRANSPOSE(_a1)) + _b1</f>
        <v>2.1840000000000002</v>
      </c>
      <c r="K5">
        <v>2.0310000000000001</v>
      </c>
      <c r="L5">
        <v>3.8420000000000001</v>
      </c>
      <c r="M5">
        <v>3.0439999999999996</v>
      </c>
      <c r="Q5">
        <v>0.09</v>
      </c>
      <c r="R5">
        <v>0.21</v>
      </c>
      <c r="S5">
        <v>0.19</v>
      </c>
      <c r="T5">
        <v>0.28999999999999998</v>
      </c>
      <c r="V5" cm="1">
        <f t="array" ref="V5:Y6">MMULT(_w2,_a2) + _b2</f>
        <v>0.73783487639092327</v>
      </c>
      <c r="W5">
        <v>0.72606302755600272</v>
      </c>
      <c r="X5">
        <v>0.80247261055711716</v>
      </c>
      <c r="Y5">
        <v>0.78385970003679595</v>
      </c>
      <c r="AD5">
        <v>0.19</v>
      </c>
      <c r="AE5">
        <v>0.2</v>
      </c>
      <c r="AH5" cm="1">
        <f t="array" ref="AH5:AK5" xml:space="preserve"> MMULT(_w3,_a3) + _b3</f>
        <v>0.3491209794735799</v>
      </c>
      <c r="AI5">
        <v>0.34836544214782883</v>
      </c>
      <c r="AJ5">
        <v>0.35326196450189373</v>
      </c>
      <c r="AK5">
        <v>0.35212099801674968</v>
      </c>
    </row>
    <row r="6" spans="1:40" x14ac:dyDescent="0.3">
      <c r="A6" t="s">
        <v>42</v>
      </c>
      <c r="B6">
        <v>4.7</v>
      </c>
      <c r="C6">
        <v>3.2</v>
      </c>
      <c r="D6">
        <v>2.9</v>
      </c>
      <c r="F6">
        <v>0.26</v>
      </c>
      <c r="G6">
        <v>0.23599999999999999</v>
      </c>
      <c r="H6">
        <v>0.23</v>
      </c>
      <c r="J6">
        <v>2.8728000000000002</v>
      </c>
      <c r="K6">
        <v>2.6642000000000006</v>
      </c>
      <c r="L6">
        <v>5.1243999999999996</v>
      </c>
      <c r="M6">
        <v>4.0567999999999991</v>
      </c>
      <c r="Q6">
        <v>2.9000000000000001E-2</v>
      </c>
      <c r="R6">
        <v>0.19</v>
      </c>
      <c r="S6">
        <v>0.11</v>
      </c>
      <c r="T6">
        <v>0.09</v>
      </c>
      <c r="V6">
        <v>0.41759990776697725</v>
      </c>
      <c r="W6">
        <v>0.41206744819327396</v>
      </c>
      <c r="X6">
        <v>0.44870727050204706</v>
      </c>
      <c r="Y6">
        <v>0.44067218674694442</v>
      </c>
    </row>
    <row r="7" spans="1:40" x14ac:dyDescent="0.3">
      <c r="B7">
        <v>6.6</v>
      </c>
      <c r="C7">
        <v>8.9</v>
      </c>
      <c r="D7">
        <v>5.6</v>
      </c>
      <c r="F7">
        <v>0.09</v>
      </c>
      <c r="G7">
        <v>0.2</v>
      </c>
      <c r="H7">
        <v>0.25</v>
      </c>
      <c r="J7">
        <v>2.0140000000000002</v>
      </c>
      <c r="K7">
        <v>1.9380000000000002</v>
      </c>
      <c r="L7">
        <v>3.9239999999999999</v>
      </c>
      <c r="M7">
        <v>3.2879999999999998</v>
      </c>
    </row>
    <row r="8" spans="1:40" x14ac:dyDescent="0.3">
      <c r="B8">
        <v>4.2</v>
      </c>
      <c r="C8">
        <v>7.8</v>
      </c>
      <c r="D8">
        <v>4.8</v>
      </c>
      <c r="F8">
        <v>0.08</v>
      </c>
      <c r="G8">
        <v>0.03</v>
      </c>
      <c r="H8">
        <v>0.3</v>
      </c>
      <c r="J8">
        <v>1.5820000000000001</v>
      </c>
      <c r="K8">
        <v>1.4320000000000002</v>
      </c>
      <c r="L8">
        <v>2.5649999999999999</v>
      </c>
      <c r="M8">
        <v>2.0999999999999996</v>
      </c>
      <c r="AN8" t="s">
        <v>15</v>
      </c>
    </row>
    <row r="9" spans="1:40" x14ac:dyDescent="0.3">
      <c r="AN9" cm="1">
        <f t="array" ref="AN9">(-1/ROWS(_Y)) * ( (MMULT(LN(_a4),_Y) + MMULT(LN(1-_a4), (1-_Y))) )</f>
        <v>0.70745778582097441</v>
      </c>
    </row>
    <row r="11" spans="1:40" x14ac:dyDescent="0.3">
      <c r="B11" t="s">
        <v>4</v>
      </c>
      <c r="F11" t="s">
        <v>3</v>
      </c>
      <c r="J11" t="s">
        <v>6</v>
      </c>
      <c r="Q11" t="s">
        <v>8</v>
      </c>
      <c r="V11" t="s">
        <v>9</v>
      </c>
      <c r="AD11" t="s">
        <v>12</v>
      </c>
      <c r="AH11" t="s">
        <v>14</v>
      </c>
    </row>
    <row r="12" spans="1:40" x14ac:dyDescent="0.3">
      <c r="B12">
        <v>0</v>
      </c>
      <c r="F12">
        <v>0.08</v>
      </c>
      <c r="J12" cm="1">
        <f t="array" ref="J12:M15" xml:space="preserve"> 1 / (1 + EXP(-1*_z2) )</f>
        <v>0.89880347606866751</v>
      </c>
      <c r="K12">
        <v>0.88401365082782779</v>
      </c>
      <c r="L12">
        <v>0.97899981075753661</v>
      </c>
      <c r="M12">
        <v>0.9545227814092796</v>
      </c>
      <c r="Q12">
        <v>0.05</v>
      </c>
      <c r="V12" cm="1">
        <f t="array" ref="V12:Y13">1/(1+EXP(-1*_z3))</f>
        <v>0.67652222199773937</v>
      </c>
      <c r="W12">
        <v>0.6739407372193047</v>
      </c>
      <c r="X12">
        <v>0.69050314789997103</v>
      </c>
      <c r="Y12">
        <v>0.68651137089662695</v>
      </c>
      <c r="AD12">
        <v>0.1</v>
      </c>
      <c r="AH12" cm="1">
        <f t="array" ref="AH12:AK12">1/(1+EXP(-1*_z4))</f>
        <v>0.58640440251226889</v>
      </c>
      <c r="AI12">
        <v>0.58622114685700644</v>
      </c>
      <c r="AJ12">
        <v>0.58740837267688661</v>
      </c>
      <c r="AK12">
        <v>0.58713182074415371</v>
      </c>
    </row>
    <row r="13" spans="1:40" x14ac:dyDescent="0.3">
      <c r="B13">
        <v>0</v>
      </c>
      <c r="F13">
        <v>0.02</v>
      </c>
      <c r="J13">
        <v>0.94648534775820026</v>
      </c>
      <c r="K13">
        <v>0.93488082447785448</v>
      </c>
      <c r="L13">
        <v>0.99408540442148063</v>
      </c>
      <c r="M13">
        <v>0.98299004112027299</v>
      </c>
      <c r="Q13">
        <v>0.04</v>
      </c>
      <c r="V13">
        <v>0.6029087864700472</v>
      </c>
      <c r="W13">
        <v>0.60158351038080471</v>
      </c>
      <c r="X13">
        <v>0.61033183200449648</v>
      </c>
      <c r="Y13">
        <v>0.60841918773195303</v>
      </c>
    </row>
    <row r="14" spans="1:40" x14ac:dyDescent="0.3">
      <c r="B14">
        <v>1</v>
      </c>
      <c r="F14">
        <v>0.15</v>
      </c>
      <c r="J14">
        <v>0.88225916964947115</v>
      </c>
      <c r="K14">
        <v>0.87413225798339511</v>
      </c>
      <c r="L14">
        <v>0.98062107527437081</v>
      </c>
      <c r="M14">
        <v>0.96401483800753285</v>
      </c>
    </row>
    <row r="15" spans="1:40" x14ac:dyDescent="0.3">
      <c r="B15">
        <v>1</v>
      </c>
      <c r="F15">
        <v>0.09</v>
      </c>
      <c r="J15">
        <v>0.82948758028317804</v>
      </c>
      <c r="K15">
        <v>0.8072127476700125</v>
      </c>
      <c r="L15">
        <v>0.92857478744240485</v>
      </c>
      <c r="M15">
        <v>0.89090317880438707</v>
      </c>
      <c r="AH15" t="s">
        <v>16</v>
      </c>
    </row>
    <row r="16" spans="1:40" x14ac:dyDescent="0.3">
      <c r="AH16" cm="1">
        <f t="array" ref="AH16:AK16" xml:space="preserve"> ROUND(_a4, 0)</f>
        <v>1</v>
      </c>
      <c r="AI16">
        <v>1</v>
      </c>
      <c r="AJ16">
        <v>1</v>
      </c>
      <c r="AK16">
        <v>1</v>
      </c>
    </row>
    <row r="20" spans="4:33" s="1" customFormat="1" x14ac:dyDescent="0.3"/>
    <row r="24" spans="4:33" x14ac:dyDescent="0.3">
      <c r="D24" t="s">
        <v>23</v>
      </c>
      <c r="R24" t="s">
        <v>20</v>
      </c>
      <c r="AD24" t="s">
        <v>17</v>
      </c>
    </row>
    <row r="25" spans="4:33" x14ac:dyDescent="0.3">
      <c r="D25" cm="1">
        <f t="array" ref="D25:G28" xml:space="preserve"> MMULT( MMULT( TRANSPOSE(_w2),_delta3 ), MMULT( (_a2), (1-_a2)) )</f>
        <v>5.7180369663696676E-3</v>
      </c>
      <c r="E25">
        <v>6.4427737960169543E-3</v>
      </c>
      <c r="F25">
        <v>1.5290493359998018E-3</v>
      </c>
      <c r="G25">
        <v>2.6831794537306901E-3</v>
      </c>
      <c r="R25" cm="1">
        <f t="array" ref="R25:U26" xml:space="preserve"> MMULT(MMULT(TRANSPOSE(_w3),_delta4 ), MMULT( TRANSPOSE(_a3), (1-_a3)) )</f>
        <v>2.9064480151909676E-2</v>
      </c>
      <c r="S25">
        <v>2.9225247895004275E-2</v>
      </c>
      <c r="T25">
        <v>2.8184306622968766E-2</v>
      </c>
      <c r="U25">
        <v>2.8427628057459603E-2</v>
      </c>
      <c r="AD25" cm="1">
        <f t="array" ref="AD25:AG25">_a4 - TRANSPOSE(_Y)</f>
        <v>0.58640440251226889</v>
      </c>
      <c r="AE25">
        <v>0.58622114685700644</v>
      </c>
      <c r="AF25">
        <v>-0.41259162732311339</v>
      </c>
      <c r="AG25">
        <v>-0.41286817925584629</v>
      </c>
    </row>
    <row r="26" spans="4:33" x14ac:dyDescent="0.3">
      <c r="D26">
        <v>1.945131352315271E-2</v>
      </c>
      <c r="E26">
        <v>2.1916684659813127E-2</v>
      </c>
      <c r="F26">
        <v>5.2014385709338229E-3</v>
      </c>
      <c r="G26">
        <v>9.1274969190227387E-3</v>
      </c>
      <c r="R26">
        <v>3.0594189633589119E-2</v>
      </c>
      <c r="S26">
        <v>3.0763418836846607E-2</v>
      </c>
      <c r="T26">
        <v>2.9667691182072367E-2</v>
      </c>
      <c r="U26">
        <v>2.9923819007852188E-2</v>
      </c>
    </row>
    <row r="27" spans="4:33" x14ac:dyDescent="0.3">
      <c r="D27">
        <v>1.4507333962710815E-2</v>
      </c>
      <c r="E27">
        <v>1.6346076748846507E-2</v>
      </c>
      <c r="F27">
        <v>3.8793784463575752E-3</v>
      </c>
      <c r="G27">
        <v>6.8075426315176019E-3</v>
      </c>
    </row>
    <row r="28" spans="4:33" x14ac:dyDescent="0.3">
      <c r="D28">
        <v>1.8252773023651643E-2</v>
      </c>
      <c r="E28">
        <v>2.056623425715455E-2</v>
      </c>
      <c r="F28">
        <v>4.8809391467941263E-3</v>
      </c>
      <c r="G28">
        <v>8.5650837584154323E-3</v>
      </c>
      <c r="AD28" t="s">
        <v>18</v>
      </c>
    </row>
    <row r="29" spans="4:33" x14ac:dyDescent="0.3">
      <c r="R29" t="s">
        <v>21</v>
      </c>
      <c r="AD29" cm="1">
        <f t="array" ref="AD29:AE29">lr*MMULT(_delta4, TRANSPOSE(_a3))</f>
        <v>0.11172970202945365</v>
      </c>
      <c r="AE29">
        <v>0.10159730802400985</v>
      </c>
    </row>
    <row r="30" spans="4:33" x14ac:dyDescent="0.3">
      <c r="R30" cm="1">
        <f t="array" ref="R30:U31">lr* MMULT(_delta3, _a2)</f>
        <v>5.1115376038393404E-2</v>
      </c>
      <c r="S30">
        <v>5.0299738199094515E-2</v>
      </c>
      <c r="T30">
        <v>5.5770908344467296E-2</v>
      </c>
      <c r="U30">
        <v>5.4483595025315731E-2</v>
      </c>
    </row>
    <row r="31" spans="4:33" x14ac:dyDescent="0.3">
      <c r="D31" t="s">
        <v>25</v>
      </c>
      <c r="R31">
        <v>5.3805658987782501E-2</v>
      </c>
      <c r="S31">
        <v>5.2947092841152107E-2</v>
      </c>
      <c r="T31">
        <v>5.8706219309965557E-2</v>
      </c>
      <c r="U31">
        <v>5.7351152658227059E-2</v>
      </c>
    </row>
    <row r="32" spans="4:33" x14ac:dyDescent="0.3">
      <c r="D32" cm="1">
        <f t="array" ref="D32:F35">lr* MMULT(_delta2, _a1)</f>
        <v>4.1831561588108704E-2</v>
      </c>
      <c r="E32">
        <v>3.5582359241293465E-2</v>
      </c>
      <c r="F32">
        <v>2.9211849980169152E-2</v>
      </c>
      <c r="AD32" t="s">
        <v>19</v>
      </c>
    </row>
    <row r="33" spans="4:32" x14ac:dyDescent="0.3">
      <c r="D33">
        <v>0.1423003776294178</v>
      </c>
      <c r="E33">
        <v>0.121042174012959</v>
      </c>
      <c r="F33">
        <v>9.9371314998042637E-2</v>
      </c>
      <c r="AD33">
        <f>lr* (1/COLUMNS(_delta4))* SUM(_delta4)</f>
        <v>4.339571784878947E-2</v>
      </c>
    </row>
    <row r="34" spans="4:32" x14ac:dyDescent="0.3">
      <c r="D34">
        <v>0.10613160385454654</v>
      </c>
      <c r="E34">
        <v>9.0276640695159407E-2</v>
      </c>
      <c r="F34">
        <v>7.41139075916082E-2</v>
      </c>
      <c r="R34" t="s">
        <v>22</v>
      </c>
    </row>
    <row r="35" spans="4:32" x14ac:dyDescent="0.3">
      <c r="D35">
        <v>0.13353219004763081</v>
      </c>
      <c r="E35">
        <v>0.11358386290561363</v>
      </c>
      <c r="F35">
        <v>9.3248307141937312E-2</v>
      </c>
      <c r="R35">
        <f>lr* (1/COLUMNS(R25:U25))* SUM(R25:U25)</f>
        <v>1.4362707840917789E-2</v>
      </c>
    </row>
    <row r="36" spans="4:32" x14ac:dyDescent="0.3">
      <c r="R36">
        <f>lr* (1/COLUMNS(R26:U26))* SUM(R26:U26)</f>
        <v>1.5118639832545036E-2</v>
      </c>
    </row>
    <row r="38" spans="4:32" x14ac:dyDescent="0.3">
      <c r="D38" t="s">
        <v>24</v>
      </c>
    </row>
    <row r="39" spans="4:32" x14ac:dyDescent="0.3">
      <c r="D39">
        <f>lr* (SUM(D25:G25))* (1/COLUMNS(D25:G25))</f>
        <v>2.0466299440146394E-3</v>
      </c>
    </row>
    <row r="40" spans="4:32" x14ac:dyDescent="0.3">
      <c r="D40">
        <f>lr* (SUM(D26:G26))* (1/COLUMNS(D26:G26))</f>
        <v>6.9621167091153003E-3</v>
      </c>
    </row>
    <row r="41" spans="4:32" x14ac:dyDescent="0.3">
      <c r="D41">
        <f>lr* (SUM(D27:G27))* (1/COLUMNS(D27:G27))</f>
        <v>5.1925414736790623E-3</v>
      </c>
    </row>
    <row r="42" spans="4:32" x14ac:dyDescent="0.3">
      <c r="D42">
        <f>lr* (SUM(D28:G28))* (1/COLUMNS(D28:G28))</f>
        <v>6.5331287732519686E-3</v>
      </c>
    </row>
    <row r="44" spans="4:32" s="1" customFormat="1" x14ac:dyDescent="0.3"/>
    <row r="48" spans="4:32" x14ac:dyDescent="0.3">
      <c r="F48" t="s">
        <v>26</v>
      </c>
      <c r="J48" t="s">
        <v>32</v>
      </c>
      <c r="Q48" t="s">
        <v>28</v>
      </c>
      <c r="V48" t="s">
        <v>34</v>
      </c>
      <c r="AC48" t="s">
        <v>30</v>
      </c>
      <c r="AF48" t="s">
        <v>36</v>
      </c>
    </row>
    <row r="49" spans="6:41" x14ac:dyDescent="0.3">
      <c r="F49" cm="1">
        <f t="array" ref="F49:H52" xml:space="preserve"> _w1 - d_w1</f>
        <v>0.15816843841189132</v>
      </c>
      <c r="G49">
        <v>0.14441764075870653</v>
      </c>
      <c r="H49">
        <v>0.12078815001983084</v>
      </c>
      <c r="J49" cm="1">
        <f t="array" ref="J49:M52">MMULT(new_w1,TRANSPOSE(_a1)) + new_b1</f>
        <v>1.7545880993504137</v>
      </c>
      <c r="K49">
        <v>1.6337671160772449</v>
      </c>
      <c r="L49">
        <v>3.0835957064380088</v>
      </c>
      <c r="M49">
        <v>2.448501529399028</v>
      </c>
      <c r="Q49" cm="1">
        <f t="array" ref="Q49:T50" xml:space="preserve"> _w2 - d_w2</f>
        <v>3.8884623961606593E-2</v>
      </c>
      <c r="R49">
        <v>0.15970026180090546</v>
      </c>
      <c r="S49">
        <v>0.13422909165553271</v>
      </c>
      <c r="T49">
        <v>0.23551640497468423</v>
      </c>
      <c r="V49" cm="1">
        <f t="array" ref="V49:Y50">MMULT(new_w2, new_a2) +  new_b2</f>
        <v>0.42345489273506465</v>
      </c>
      <c r="W49">
        <v>0.41766388609526722</v>
      </c>
      <c r="X49">
        <v>0.46534623814714277</v>
      </c>
      <c r="Y49">
        <v>0.456860744688936</v>
      </c>
      <c r="AC49" cm="1">
        <f t="array" ref="AC49:AD49" xml:space="preserve"> _w3 - d_w3</f>
        <v>7.8270297970546354E-2</v>
      </c>
      <c r="AD49">
        <v>9.8402691975990164E-2</v>
      </c>
      <c r="AF49" cm="1">
        <f t="array" ref="AF49:AI49" xml:space="preserve"> MMULT(new_w3,new_a3) + new_b3</f>
        <v>0.15724552877628714</v>
      </c>
      <c r="AG49">
        <v>0.15708490796848679</v>
      </c>
      <c r="AH49">
        <v>0.15856805403760926</v>
      </c>
      <c r="AI49">
        <v>0.15826690453828263</v>
      </c>
    </row>
    <row r="50" spans="6:41" x14ac:dyDescent="0.3">
      <c r="F50">
        <v>0.11769962237058221</v>
      </c>
      <c r="G50">
        <v>0.11495782598704099</v>
      </c>
      <c r="H50">
        <v>0.13062868500195737</v>
      </c>
      <c r="J50">
        <v>1.4120494733361233</v>
      </c>
      <c r="K50">
        <v>1.3129143380968284</v>
      </c>
      <c r="L50">
        <v>2.5445006782323532</v>
      </c>
      <c r="M50">
        <v>2.0310650279556448</v>
      </c>
      <c r="Q50">
        <v>-2.4805658987782499E-2</v>
      </c>
      <c r="R50">
        <v>0.13705290715884788</v>
      </c>
      <c r="S50">
        <v>5.1293780690034443E-2</v>
      </c>
      <c r="T50">
        <v>3.2648847341772938E-2</v>
      </c>
      <c r="V50">
        <v>0.16870340414023188</v>
      </c>
      <c r="W50">
        <v>0.16656773986680357</v>
      </c>
      <c r="X50">
        <v>0.19091465793470414</v>
      </c>
      <c r="Y50">
        <v>0.18502441730678917</v>
      </c>
    </row>
    <row r="51" spans="6:41" x14ac:dyDescent="0.3">
      <c r="F51">
        <v>-1.6131603854546539E-2</v>
      </c>
      <c r="G51">
        <v>0.1097233593048406</v>
      </c>
      <c r="H51">
        <v>0.17588609240839181</v>
      </c>
      <c r="J51">
        <v>0.92453137870126789</v>
      </c>
      <c r="K51">
        <v>0.93017333816977843</v>
      </c>
      <c r="L51">
        <v>1.9998388883863893</v>
      </c>
      <c r="M51">
        <v>1.7771501684752629</v>
      </c>
    </row>
    <row r="52" spans="6:41" x14ac:dyDescent="0.3">
      <c r="F52">
        <v>-5.3532190047630809E-2</v>
      </c>
      <c r="G52">
        <v>-8.3583862905613635E-2</v>
      </c>
      <c r="H52">
        <v>0.20675169285806266</v>
      </c>
      <c r="J52">
        <v>0.21125720797009798</v>
      </c>
      <c r="K52">
        <v>0.16397712599330119</v>
      </c>
      <c r="L52">
        <v>0.14406751705757417</v>
      </c>
      <c r="M52">
        <v>0.19908566808161302</v>
      </c>
    </row>
    <row r="53" spans="6:41" x14ac:dyDescent="0.3">
      <c r="AM53" t="s">
        <v>15</v>
      </c>
    </row>
    <row r="54" spans="6:41" x14ac:dyDescent="0.3">
      <c r="AM54" cm="1">
        <f t="array" ref="AM54">(-1/ROWS(_Y)) * ( (MMULT(LN(new_a4),_Y) + MMULT(LN(1-new_a4), (1-_Y))) )</f>
        <v>0.69594320618241934</v>
      </c>
    </row>
    <row r="55" spans="6:41" x14ac:dyDescent="0.3">
      <c r="F55" t="s">
        <v>27</v>
      </c>
      <c r="J55" t="s">
        <v>33</v>
      </c>
      <c r="Q55" t="s">
        <v>29</v>
      </c>
      <c r="V55" t="s">
        <v>35</v>
      </c>
      <c r="AC55" t="s">
        <v>31</v>
      </c>
      <c r="AF55" t="s">
        <v>37</v>
      </c>
    </row>
    <row r="56" spans="6:41" x14ac:dyDescent="0.3">
      <c r="F56" cm="1">
        <f t="array" ref="F56:F59" xml:space="preserve"> _b1 - d_b1</f>
        <v>7.7953370055985363E-2</v>
      </c>
      <c r="J56" cm="1">
        <f t="array" ref="J56:M59" xml:space="preserve"> 1 / (1 + EXP(-1*new_z2) )</f>
        <v>0.85253056140821915</v>
      </c>
      <c r="K56">
        <v>0.83668504259819843</v>
      </c>
      <c r="L56">
        <v>0.95621098956273698</v>
      </c>
      <c r="M56">
        <v>0.92045180147850125</v>
      </c>
      <c r="Q56" cm="1">
        <f t="array" ref="Q56:Q57">_b2 - d_b2</f>
        <v>3.5637292159082214E-2</v>
      </c>
      <c r="V56" cm="1">
        <f t="array" ref="V56:Y57" xml:space="preserve"> 1 / (1 + EXP(-1*new_z3) )</f>
        <v>0.60430967906197219</v>
      </c>
      <c r="W56">
        <v>0.60292410340680369</v>
      </c>
      <c r="X56">
        <v>0.61428168358392554</v>
      </c>
      <c r="Y56">
        <v>0.61226919382756162</v>
      </c>
      <c r="AC56">
        <f>_b3 - d_b3</f>
        <v>5.6604282151210536E-2</v>
      </c>
      <c r="AF56" cm="1">
        <f t="array" ref="AF56:AI56" xml:space="preserve"> 1 / (1 + EXP(-1*new_z4) )</f>
        <v>0.53923058036495053</v>
      </c>
      <c r="AG56">
        <v>0.53919067211321126</v>
      </c>
      <c r="AH56">
        <v>0.53955915916738284</v>
      </c>
      <c r="AI56">
        <v>0.53948434217881003</v>
      </c>
    </row>
    <row r="57" spans="6:41" x14ac:dyDescent="0.3">
      <c r="F57">
        <v>1.30378832908847E-2</v>
      </c>
      <c r="J57">
        <v>0.80408899814709112</v>
      </c>
      <c r="K57">
        <v>0.78800042146710747</v>
      </c>
      <c r="L57">
        <v>0.92720319548808572</v>
      </c>
      <c r="M57">
        <v>0.88402031820625937</v>
      </c>
      <c r="Q57">
        <v>2.4881360167454965E-2</v>
      </c>
      <c r="V57">
        <v>0.54207610490397928</v>
      </c>
      <c r="W57">
        <v>0.54154592237175414</v>
      </c>
      <c r="X57">
        <v>0.54758422145182195</v>
      </c>
      <c r="Y57">
        <v>0.54612459343200714</v>
      </c>
    </row>
    <row r="58" spans="6:41" x14ac:dyDescent="0.3">
      <c r="F58">
        <v>0.14480745852632093</v>
      </c>
      <c r="J58">
        <v>0.71596450494666375</v>
      </c>
      <c r="K58">
        <v>0.71711045072645785</v>
      </c>
      <c r="L58">
        <v>0.88078016125410086</v>
      </c>
      <c r="M58">
        <v>0.85534461262260419</v>
      </c>
      <c r="AM58" t="s">
        <v>38</v>
      </c>
      <c r="AN58" t="s">
        <v>39</v>
      </c>
      <c r="AO58">
        <f>loss1 - loss2</f>
        <v>1.1514579638555067E-2</v>
      </c>
    </row>
    <row r="59" spans="6:41" x14ac:dyDescent="0.3">
      <c r="F59">
        <v>8.3466871226748035E-2</v>
      </c>
      <c r="J59">
        <v>0.55261875121575665</v>
      </c>
      <c r="K59">
        <v>0.54090267159488781</v>
      </c>
      <c r="L59">
        <v>0.5359547127474662</v>
      </c>
      <c r="M59">
        <v>0.54960767471313765</v>
      </c>
      <c r="AF59" t="s">
        <v>16</v>
      </c>
    </row>
    <row r="60" spans="6:41" x14ac:dyDescent="0.3">
      <c r="AF60" cm="1">
        <f t="array" ref="AF60:AI60" xml:space="preserve"> ROUND(new_a4, 0)</f>
        <v>1</v>
      </c>
      <c r="AG60">
        <v>1</v>
      </c>
      <c r="AH60">
        <v>1</v>
      </c>
      <c r="AI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Sheet1</vt:lpstr>
      <vt:lpstr>_a1</vt:lpstr>
      <vt:lpstr>_a2</vt:lpstr>
      <vt:lpstr>_a3</vt:lpstr>
      <vt:lpstr>_a4</vt:lpstr>
      <vt:lpstr>_b1</vt:lpstr>
      <vt:lpstr>_b2</vt:lpstr>
      <vt:lpstr>_b3</vt:lpstr>
      <vt:lpstr>_delta2</vt:lpstr>
      <vt:lpstr>_delta3</vt:lpstr>
      <vt:lpstr>_delta4</vt:lpstr>
      <vt:lpstr>_w1</vt:lpstr>
      <vt:lpstr>_w2</vt:lpstr>
      <vt:lpstr>_w3</vt:lpstr>
      <vt:lpstr>_Y</vt:lpstr>
      <vt:lpstr>_z2</vt:lpstr>
      <vt:lpstr>_z3</vt:lpstr>
      <vt:lpstr>_z4</vt:lpstr>
      <vt:lpstr>d_b1</vt:lpstr>
      <vt:lpstr>d_b2</vt:lpstr>
      <vt:lpstr>d_b3</vt:lpstr>
      <vt:lpstr>d_w1</vt:lpstr>
      <vt:lpstr>d_w2</vt:lpstr>
      <vt:lpstr>d_w3</vt:lpstr>
      <vt:lpstr>loss1</vt:lpstr>
      <vt:lpstr>loss2</vt:lpstr>
      <vt:lpstr>lr</vt:lpstr>
      <vt:lpstr>new_a2</vt:lpstr>
      <vt:lpstr>new_a3</vt:lpstr>
      <vt:lpstr>new_a4</vt:lpstr>
      <vt:lpstr>new_b1</vt:lpstr>
      <vt:lpstr>new_b2</vt:lpstr>
      <vt:lpstr>new_b3</vt:lpstr>
      <vt:lpstr>new_w1</vt:lpstr>
      <vt:lpstr>new_w2</vt:lpstr>
      <vt:lpstr>new_w3</vt:lpstr>
      <vt:lpstr>new_z2</vt:lpstr>
      <vt:lpstr>new_z3</vt:lpstr>
      <vt:lpstr>new_z4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Earth  Agrawal</dc:creator>
  <cp:lastModifiedBy>Earth  Agrawal</cp:lastModifiedBy>
  <dcterms:created xsi:type="dcterms:W3CDTF">2026-04-23T20:31:09Z</dcterms:created>
  <dcterms:modified xsi:type="dcterms:W3CDTF">2026-04-24T06:59:13Z</dcterms:modified>
</cp:coreProperties>
</file>